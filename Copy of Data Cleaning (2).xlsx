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/>
  <mc:AlternateContent xmlns:mc="http://schemas.openxmlformats.org/markup-compatibility/2006">
    <mc:Choice Requires="x15">
      <x15ac:absPath xmlns:x15ac="http://schemas.microsoft.com/office/spreadsheetml/2010/11/ac" url="C:\Users\TASK\Desktop\vardhan\"/>
    </mc:Choice>
  </mc:AlternateContent>
  <xr:revisionPtr revIDLastSave="0" documentId="8_{AE6C027E-D60F-463A-8E54-76F64295D0E3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Sheet1 (2)" sheetId="1" r:id="rId1"/>
  </sheets>
  <calcPr calcId="191029"/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H31" i="1"/>
  <c r="I5" i="1"/>
  <c r="I4" i="1"/>
  <c r="I3" i="1"/>
  <c r="I31" i="1" l="1"/>
</calcChain>
</file>

<file path=xl/sharedStrings.xml><?xml version="1.0" encoding="utf-8"?>
<sst xmlns="http://schemas.openxmlformats.org/spreadsheetml/2006/main" count="134" uniqueCount="83">
  <si>
    <t>Date</t>
  </si>
  <si>
    <t>Client</t>
  </si>
  <si>
    <t>Department</t>
  </si>
  <si>
    <t>Payment</t>
  </si>
  <si>
    <t>Revenue</t>
  </si>
  <si>
    <t>Profit</t>
  </si>
  <si>
    <t>Profit Margin</t>
  </si>
  <si>
    <t>AMAZON.COM, INC. (XNAS:AMZN)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</si>
  <si>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</si>
  <si>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</si>
  <si>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</si>
  <si>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</si>
  <si>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</si>
  <si>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</si>
  <si>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</si>
  <si>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>THE PROCTER &amp; GAMBLE COMPANY (XNYS:PG)</t>
  </si>
  <si>
    <t>Nyla Novak</t>
  </si>
  <si>
    <t>Operations_Florida</t>
  </si>
  <si>
    <t>THE GOLDMAN SACHS GROUP, INC. (XNYS:GS)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</si>
  <si>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</si>
  <si>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</si>
  <si>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</si>
  <si>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</si>
  <si>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</si>
  <si>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</si>
  <si>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</si>
  <si>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</si>
  <si>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</si>
  <si>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</si>
  <si>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</si>
  <si>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</si>
  <si>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</si>
  <si>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</si>
  <si>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>MCDONALD'S CORPORATION (XNYS:MCD)</t>
  </si>
  <si>
    <t>Big Data_California</t>
  </si>
  <si>
    <t>EXXON MOBIL CORPORATION (XNYS:XOM)</t>
  </si>
  <si>
    <t>Lucia Mckay</t>
  </si>
  <si>
    <t>VERIZON COMMUNICATIONS INC. (XNYS:VZ)</t>
  </si>
  <si>
    <t>THE HOME DEPOT, INC. (XNYS:HD)</t>
  </si>
  <si>
    <t>Franklin WRIGT</t>
  </si>
  <si>
    <t>CISCO SYSTEMS, INC. (XNAS:CSCO)</t>
  </si>
  <si>
    <t>CHEVRON CORPORATION (XNYS:CVX)</t>
  </si>
  <si>
    <t>AT&amp;T INC. (XNYS:T)</t>
  </si>
  <si>
    <t>Bruno CordOVA</t>
  </si>
  <si>
    <t>INTEL CORPORATION (XNAS:INTC)</t>
  </si>
  <si>
    <t>GENERAL MOTORS COMPANY (XNYS:GM)</t>
  </si>
  <si>
    <t>Bruce RICH</t>
  </si>
  <si>
    <t>MICROSOFT CORPORATION (XNAS:MSFT)</t>
  </si>
  <si>
    <t>COMCAST CORPORATION (XNAS:CMCSA)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</si>
  <si>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</si>
  <si>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</si>
  <si>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</si>
  <si>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</si>
  <si>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</si>
  <si>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</si>
  <si>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</si>
  <si>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</si>
  <si>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</si>
  <si>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</si>
  <si>
    <t/>
  </si>
  <si>
    <t>Harley Fritz</t>
  </si>
  <si>
    <t>David Rasmussen</t>
  </si>
  <si>
    <t>Jordan Boone</t>
  </si>
  <si>
    <t>Conor Wise</t>
  </si>
  <si>
    <t>Steven MIChael</t>
  </si>
  <si>
    <t>JoSE Roach</t>
  </si>
  <si>
    <t>Alia Thornton</t>
  </si>
  <si>
    <t>Denzel Flores</t>
  </si>
  <si>
    <t>jaylynn napp</t>
  </si>
  <si>
    <t>Arturo Moore</t>
  </si>
  <si>
    <t>Bryce Carpenter</t>
  </si>
  <si>
    <t>NA</t>
  </si>
  <si>
    <t>Bill Smith</t>
  </si>
  <si>
    <t>Strategy New York</t>
  </si>
  <si>
    <t>Column1</t>
  </si>
  <si>
    <t>Column2</t>
  </si>
  <si>
    <t>Column3</t>
  </si>
  <si>
    <t>Column4</t>
  </si>
  <si>
    <t>Column5</t>
  </si>
  <si>
    <t>NA6</t>
  </si>
  <si>
    <t>Column7</t>
  </si>
  <si>
    <t>Column8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</si>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</sst>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$&quot;#,##0_);[Red]\(&quot;$&quot;#,##0\)"/>
  </numFmts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0" fillId="0" borderId="0" xfId="0" applyFont="1"/>
    <xf numFmtId="164" fontId="0" fillId="0" borderId="0" xfId="0" applyNumberFormat="1" applyFont="1" applyAlignment="1">
      <alignment horizontal="center"/>
    </xf>
    <xf numFmtId="0" fontId="0" fillId="0" borderId="0" xfId="0" applyNumberFormat="1" applyFont="1" applyAlignment="1"/>
    <xf numFmtId="0" fontId="2" fillId="0" borderId="0" xfId="0" applyNumberFormat="1" applyFont="1" applyAlignment="1">
      <alignment horizontal="center"/>
    </xf>
    <xf numFmtId="43" fontId="0" fillId="0" borderId="0" xfId="1" applyFont="1" applyAlignment="1"/>
    <xf numFmtId="43" fontId="2" fillId="0" borderId="0" xfId="1" applyFont="1" applyAlignment="1">
      <alignment horizontal="center"/>
    </xf>
    <xf numFmtId="43" fontId="2" fillId="0" borderId="0" xfId="1" applyFont="1"/>
    <xf numFmtId="43" fontId="2" fillId="0" borderId="0" xfId="1" applyFont="1" applyAlignment="1"/>
    <xf numFmtId="4" fontId="0" fillId="0" borderId="0" xfId="0" applyNumberFormat="1" applyFont="1" applyAlignment="1"/>
    <xf numFmtId="14" fontId="0" fillId="0" borderId="0" xfId="0" applyNumberFormat="1" applyFont="1" applyAlignment="1"/>
    <xf numFmtId="14" fontId="1" fillId="0" borderId="0" xfId="0" applyNumberFormat="1" applyFont="1"/>
    <xf numFmtId="14" fontId="2" fillId="0" borderId="0" xfId="0" applyNumberFormat="1" applyFont="1" applyAlignment="1"/>
  </cellXfs>
  <cellStyles count="2">
    <cellStyle name="Comma" xfId="1" builtinId="3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AB6A0D-BF32-47A0-86CF-DB4CC3137C2F}" name="Table1" displayName="Table1" ref="A1:I31" totalsRowCount="1">
  <autoFilter ref="A1:I30" xr:uid="{65B613E6-693D-4A16-8204-D39981B3F3F7}"/>
  <tableColumns count="9">
    <tableColumn id="1" xr3:uid="{B36A02D3-6D03-44E8-AC4E-44A863364CD3}" name="Column1" totalsRowLabel="Total"/>
    <tableColumn id="2" xr3:uid="{DB1A0C99-9049-402F-82E7-3223495D903C}" name="Column2" dataDxfId="1" totalsRowDxfId="0"/>
    <tableColumn id="3" xr3:uid="{861B29FF-0FF3-458F-A329-4BD2596CDD68}" name="Column3" dataDxfId="2"/>
    <tableColumn id="4" xr3:uid="{CA0A5AB1-5C3A-46C9-BEC5-EB73EAFDA0D1}" name="Column4" dataDxfId="11"/>
    <tableColumn id="5" xr3:uid="{D101DDE7-56C1-46B2-8CD8-F0052AFCD4F5}" name="Column5" dataDxfId="10"/>
    <tableColumn id="6" xr3:uid="{6F8AFC7E-9876-42D7-9061-7BF9CA0BEC8F}" name="NA" dataDxfId="9"/>
    <tableColumn id="7" xr3:uid="{EDB9C84D-21A6-4F29-9191-C1C29E9DB1CD}" name="NA6" dataDxfId="7" totalsRowDxfId="8"/>
    <tableColumn id="8" xr3:uid="{C14C641D-7383-4007-B9AC-F90CAE6F1754}" name="Column7" totalsRowFunction="sum" dataDxfId="5" totalsRowDxfId="6"/>
    <tableColumn id="9" xr3:uid="{A41B3FBC-9F13-461A-B2AF-D2C556BF2E58}" name="Column8" totalsRowFunction="count" dataDxfId="4" totalsRowDxfId="3" dataCellStyle="Comma" totalsRowCellStyle="Comma">
      <calculatedColumnFormula>H2/G2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10" workbookViewId="0">
      <selection activeCell="K13" sqref="K13"/>
    </sheetView>
  </sheetViews>
  <sheetFormatPr defaultColWidth="11.25" defaultRowHeight="15.75" x14ac:dyDescent="0.25"/>
  <cols>
    <col min="1" max="1" width="10.25" customWidth="1"/>
    <col min="2" max="2" width="10.25" style="14" customWidth="1"/>
    <col min="3" max="3" width="43.125" bestFit="1" customWidth="1"/>
    <col min="4" max="5" width="16.875" bestFit="1" customWidth="1"/>
    <col min="6" max="7" width="7.875" bestFit="1" customWidth="1"/>
    <col min="8" max="8" width="10.25" style="7" customWidth="1"/>
    <col min="9" max="9" width="11.5" style="9" bestFit="1" customWidth="1"/>
    <col min="10" max="10" width="16.25" bestFit="1" customWidth="1"/>
    <col min="11" max="26" width="10.5" customWidth="1"/>
  </cols>
  <sheetData>
    <row r="1" spans="1:11" x14ac:dyDescent="0.25">
      <c r="A1" t="s">
        <v>74</v>
      </c>
      <c r="B1" s="14" t="s">
        <v>75</v>
      </c>
      <c r="C1" t="s">
        <v>76</v>
      </c>
      <c r="D1" t="s">
        <v>77</v>
      </c>
      <c r="E1" t="s">
        <v>78</v>
      </c>
      <c r="F1" t="s">
        <v>71</v>
      </c>
      <c r="G1" t="s">
        <v>79</v>
      </c>
      <c r="H1" s="7" t="s">
        <v>80</v>
      </c>
      <c r="I1" s="9" t="s">
        <v>81</v>
      </c>
    </row>
    <row r="2" spans="1:11" x14ac:dyDescent="0.25">
      <c r="B2" s="15" t="s">
        <v>0</v>
      </c>
      <c r="C2" s="1" t="s">
        <v>1</v>
      </c>
      <c r="D2" s="2" t="s">
        <v>72</v>
      </c>
      <c r="E2" s="2" t="s">
        <v>2</v>
      </c>
      <c r="F2" s="2" t="s">
        <v>3</v>
      </c>
      <c r="G2" s="2" t="s">
        <v>4</v>
      </c>
      <c r="H2" s="8" t="s">
        <v>5</v>
      </c>
      <c r="I2" s="10" t="s">
        <v>6</v>
      </c>
    </row>
    <row r="3" spans="1:11" x14ac:dyDescent="0.25">
      <c r="B3" s="3">
        <v>45076</v>
      </c>
      <c r="C3" s="1" t="s">
        <v>7</v>
      </c>
      <c r="D3" s="1" t="s">
        <v>11</v>
      </c>
      <c r="E3" s="1" t="s">
        <v>8</v>
      </c>
      <c r="F3" s="1" t="s">
        <v>9</v>
      </c>
      <c r="G3" s="4">
        <v>4500</v>
      </c>
      <c r="H3" s="8">
        <v>598</v>
      </c>
      <c r="I3" s="11">
        <f>H3/G3</f>
        <v>0.13288888888888889</v>
      </c>
    </row>
    <row r="4" spans="1:11" x14ac:dyDescent="0.25">
      <c r="B4" s="3">
        <v>45076</v>
      </c>
      <c r="C4" s="1" t="s">
        <v>10</v>
      </c>
      <c r="D4" s="1" t="s">
        <v>60</v>
      </c>
      <c r="E4" s="5" t="s">
        <v>73</v>
      </c>
      <c r="F4" s="1" t="s">
        <v>13</v>
      </c>
      <c r="G4" s="4">
        <v>3800</v>
      </c>
      <c r="H4" s="8">
        <v>1045</v>
      </c>
      <c r="I4" s="11">
        <f>H4/G4</f>
        <v>0.27500000000000002</v>
      </c>
    </row>
    <row r="5" spans="1:11" x14ac:dyDescent="0.25">
      <c r="B5" s="3">
        <v>45076</v>
      </c>
      <c r="C5" s="1" t="s">
        <v>14</v>
      </c>
      <c r="D5" s="1" t="s">
        <v>16</v>
      </c>
      <c r="E5" s="1" t="s">
        <v>12</v>
      </c>
      <c r="F5" t="s">
        <v>71</v>
      </c>
      <c r="G5" s="4">
        <v>3712.5</v>
      </c>
      <c r="H5" s="8">
        <v>1009</v>
      </c>
      <c r="I5" s="11">
        <f>H5/G5</f>
        <v>0.2717845117845118</v>
      </c>
    </row>
    <row r="6" spans="1:11" x14ac:dyDescent="0.25">
      <c r="B6" s="3">
        <v>45076</v>
      </c>
      <c r="C6" s="1" t="s">
        <v>15</v>
      </c>
      <c r="D6" s="1" t="s">
        <v>61</v>
      </c>
      <c r="E6" s="1" t="s">
        <v>17</v>
      </c>
      <c r="F6" t="s">
        <v>71</v>
      </c>
      <c r="G6" s="6" t="s">
        <v>71</v>
      </c>
      <c r="H6" s="8">
        <v>779</v>
      </c>
      <c r="I6" s="11" t="s">
        <v>71</v>
      </c>
    </row>
    <row r="7" spans="1:11" x14ac:dyDescent="0.25">
      <c r="B7" s="3">
        <v>45076</v>
      </c>
      <c r="C7" s="1" t="s">
        <v>18</v>
      </c>
      <c r="D7" s="1" t="s">
        <v>21</v>
      </c>
      <c r="E7" s="1" t="s">
        <v>17</v>
      </c>
      <c r="F7" s="1" t="s">
        <v>19</v>
      </c>
      <c r="G7" s="4">
        <v>5000</v>
      </c>
      <c r="H7" s="8">
        <v>684</v>
      </c>
      <c r="I7" s="11">
        <f>H7/G7</f>
        <v>0.1368</v>
      </c>
    </row>
    <row r="8" spans="1:11" x14ac:dyDescent="0.25">
      <c r="B8" s="3">
        <v>45077</v>
      </c>
      <c r="C8" s="1" t="s">
        <v>20</v>
      </c>
      <c r="D8" s="1" t="s">
        <v>23</v>
      </c>
      <c r="E8" s="1" t="s">
        <v>8</v>
      </c>
      <c r="F8" s="1" t="s">
        <v>9</v>
      </c>
      <c r="G8" s="4">
        <v>6100</v>
      </c>
      <c r="H8" s="8">
        <v>544</v>
      </c>
      <c r="I8" s="11">
        <f>H8/G8</f>
        <v>8.9180327868852466E-2</v>
      </c>
    </row>
    <row r="9" spans="1:11" x14ac:dyDescent="0.25">
      <c r="B9" s="3">
        <v>45077</v>
      </c>
      <c r="C9" s="1" t="s">
        <v>22</v>
      </c>
      <c r="D9" s="1" t="s">
        <v>62</v>
      </c>
      <c r="E9" s="1" t="s">
        <v>8</v>
      </c>
      <c r="F9" s="1" t="s">
        <v>9</v>
      </c>
      <c r="G9" s="4">
        <v>4625</v>
      </c>
      <c r="H9" s="8">
        <v>670</v>
      </c>
      <c r="I9" s="11">
        <f>H9/G9</f>
        <v>0.14486486486486486</v>
      </c>
    </row>
    <row r="10" spans="1:11" x14ac:dyDescent="0.25">
      <c r="B10" s="3">
        <v>45077</v>
      </c>
      <c r="C10" s="1" t="s">
        <v>24</v>
      </c>
      <c r="D10" s="1" t="s">
        <v>26</v>
      </c>
      <c r="E10" s="1" t="s">
        <v>8</v>
      </c>
      <c r="F10" s="1" t="s">
        <v>9</v>
      </c>
      <c r="G10" s="4">
        <v>3800</v>
      </c>
      <c r="H10" s="8">
        <v>2045</v>
      </c>
      <c r="I10" s="11">
        <f>H10/G10</f>
        <v>0.53815789473684206</v>
      </c>
    </row>
    <row r="11" spans="1:11" x14ac:dyDescent="0.25">
      <c r="B11" s="3">
        <v>45077</v>
      </c>
      <c r="C11" s="1" t="s">
        <v>25</v>
      </c>
      <c r="D11" s="1" t="s">
        <v>29</v>
      </c>
      <c r="E11" s="1" t="s">
        <v>8</v>
      </c>
      <c r="F11" s="1" t="s">
        <v>27</v>
      </c>
      <c r="G11" s="4">
        <v>3600</v>
      </c>
      <c r="H11" s="8">
        <v>1564</v>
      </c>
      <c r="I11" s="11">
        <f>H11/G11</f>
        <v>0.43444444444444447</v>
      </c>
      <c r="K11" s="13"/>
    </row>
    <row r="12" spans="1:11" x14ac:dyDescent="0.25">
      <c r="B12" s="3">
        <v>45077</v>
      </c>
      <c r="C12" s="1" t="s">
        <v>28</v>
      </c>
      <c r="D12" s="1" t="s">
        <v>31</v>
      </c>
      <c r="E12" s="1" t="s">
        <v>8</v>
      </c>
      <c r="F12" s="1" t="s">
        <v>19</v>
      </c>
      <c r="G12" s="4">
        <v>5100</v>
      </c>
      <c r="H12" s="8">
        <v>1220</v>
      </c>
      <c r="I12" s="11">
        <f>H12/G12</f>
        <v>0.23921568627450981</v>
      </c>
    </row>
    <row r="13" spans="1:11" x14ac:dyDescent="0.25">
      <c r="B13" s="3">
        <v>45077</v>
      </c>
      <c r="C13" s="1" t="s">
        <v>30</v>
      </c>
      <c r="D13" s="1" t="s">
        <v>63</v>
      </c>
      <c r="E13" s="1" t="s">
        <v>8</v>
      </c>
      <c r="F13" s="1" t="s">
        <v>19</v>
      </c>
      <c r="G13" s="4">
        <v>4750</v>
      </c>
      <c r="H13" s="8">
        <v>1435</v>
      </c>
      <c r="I13" s="11">
        <f>H13/G13</f>
        <v>0.30210526315789471</v>
      </c>
    </row>
    <row r="14" spans="1:11" x14ac:dyDescent="0.25">
      <c r="B14" s="3">
        <v>45077</v>
      </c>
      <c r="C14" s="1" t="s">
        <v>32</v>
      </c>
      <c r="D14" s="1" t="s">
        <v>64</v>
      </c>
      <c r="E14" s="1" t="s">
        <v>17</v>
      </c>
      <c r="F14" s="1" t="s">
        <v>9</v>
      </c>
      <c r="G14" s="4">
        <v>6000</v>
      </c>
      <c r="H14" s="8">
        <v>998</v>
      </c>
      <c r="I14" s="11">
        <f>H14/G14</f>
        <v>0.16633333333333333</v>
      </c>
    </row>
    <row r="15" spans="1:11" x14ac:dyDescent="0.25">
      <c r="B15" s="3">
        <v>45077</v>
      </c>
      <c r="C15" s="1" t="s">
        <v>33</v>
      </c>
      <c r="D15" s="1" t="s">
        <v>36</v>
      </c>
      <c r="E15" s="1" t="s">
        <v>34</v>
      </c>
      <c r="F15" s="1" t="s">
        <v>19</v>
      </c>
      <c r="G15" s="4">
        <v>4500</v>
      </c>
      <c r="H15" s="8">
        <v>780</v>
      </c>
      <c r="I15" s="11">
        <f>H15/G15</f>
        <v>0.17333333333333334</v>
      </c>
    </row>
    <row r="16" spans="1:11" x14ac:dyDescent="0.25">
      <c r="B16" s="3">
        <v>45078</v>
      </c>
      <c r="C16" s="1" t="s">
        <v>35</v>
      </c>
      <c r="D16" s="1" t="s">
        <v>65</v>
      </c>
      <c r="E16" s="1" t="s">
        <v>34</v>
      </c>
      <c r="F16" s="1" t="s">
        <v>27</v>
      </c>
      <c r="G16" s="6" t="s">
        <v>71</v>
      </c>
      <c r="H16" s="8">
        <v>1044</v>
      </c>
      <c r="I16" s="11" t="s">
        <v>71</v>
      </c>
    </row>
    <row r="17" spans="1:9" x14ac:dyDescent="0.25">
      <c r="B17" s="3">
        <v>45078</v>
      </c>
      <c r="C17" s="1" t="s">
        <v>37</v>
      </c>
      <c r="D17" s="1" t="s">
        <v>39</v>
      </c>
      <c r="E17" s="1" t="s">
        <v>34</v>
      </c>
      <c r="F17" s="1" t="s">
        <v>9</v>
      </c>
      <c r="G17" s="4">
        <v>3712.5</v>
      </c>
      <c r="H17" s="8">
        <v>1222</v>
      </c>
      <c r="I17" s="11">
        <f>H17/G17</f>
        <v>0.32915824915824915</v>
      </c>
    </row>
    <row r="18" spans="1:9" x14ac:dyDescent="0.25">
      <c r="B18" s="3">
        <v>45078</v>
      </c>
      <c r="C18" s="1" t="s">
        <v>38</v>
      </c>
      <c r="D18" s="1" t="s">
        <v>66</v>
      </c>
      <c r="E18" s="1" t="s">
        <v>34</v>
      </c>
      <c r="F18" s="1" t="s">
        <v>9</v>
      </c>
      <c r="G18" s="4">
        <v>4950</v>
      </c>
      <c r="H18" s="8">
        <v>1065</v>
      </c>
      <c r="I18" s="11">
        <f>H18/G18</f>
        <v>0.21515151515151515</v>
      </c>
    </row>
    <row r="19" spans="1:9" x14ac:dyDescent="0.25">
      <c r="B19" s="3">
        <v>45078</v>
      </c>
      <c r="C19" s="1" t="s">
        <v>40</v>
      </c>
      <c r="D19" s="1" t="s">
        <v>67</v>
      </c>
      <c r="E19" s="1" t="s">
        <v>17</v>
      </c>
      <c r="F19" s="1" t="s">
        <v>9</v>
      </c>
      <c r="G19" s="4">
        <v>4750</v>
      </c>
      <c r="H19" s="8">
        <v>810</v>
      </c>
      <c r="I19" s="11">
        <f>H19/G19</f>
        <v>0.17052631578947369</v>
      </c>
    </row>
    <row r="20" spans="1:9" x14ac:dyDescent="0.25">
      <c r="B20" s="3">
        <v>45078</v>
      </c>
      <c r="C20" s="1" t="s">
        <v>41</v>
      </c>
      <c r="D20" s="1" t="s">
        <v>43</v>
      </c>
      <c r="E20" s="1" t="s">
        <v>17</v>
      </c>
      <c r="F20" s="1" t="s">
        <v>9</v>
      </c>
      <c r="G20" s="4">
        <v>7320</v>
      </c>
      <c r="H20" s="8">
        <v>933</v>
      </c>
      <c r="I20" s="11">
        <f>H20/G20</f>
        <v>0.12745901639344262</v>
      </c>
    </row>
    <row r="21" spans="1:9" x14ac:dyDescent="0.25">
      <c r="B21" s="3">
        <v>45078</v>
      </c>
      <c r="C21" s="1" t="s">
        <v>42</v>
      </c>
      <c r="D21" s="1" t="s">
        <v>68</v>
      </c>
      <c r="E21" s="1" t="s">
        <v>34</v>
      </c>
      <c r="F21" s="1" t="s">
        <v>9</v>
      </c>
      <c r="G21" s="4">
        <v>5087.5</v>
      </c>
      <c r="H21" s="8">
        <v>655</v>
      </c>
      <c r="I21" s="11">
        <f>H21/G21</f>
        <v>0.12874692874692875</v>
      </c>
    </row>
    <row r="22" spans="1:9" x14ac:dyDescent="0.25">
      <c r="B22" s="3">
        <v>45078</v>
      </c>
      <c r="C22" s="1" t="s">
        <v>44</v>
      </c>
      <c r="D22" s="1" t="s">
        <v>46</v>
      </c>
      <c r="E22" s="1" t="s">
        <v>34</v>
      </c>
      <c r="F22" s="1" t="s">
        <v>9</v>
      </c>
      <c r="G22" s="4">
        <v>4500</v>
      </c>
      <c r="H22" s="8">
        <v>722</v>
      </c>
      <c r="I22" s="11">
        <f>H22/G22</f>
        <v>0.16044444444444445</v>
      </c>
    </row>
    <row r="23" spans="1:9" x14ac:dyDescent="0.25">
      <c r="B23" s="3">
        <v>45078</v>
      </c>
      <c r="C23" s="1" t="s">
        <v>45</v>
      </c>
      <c r="D23" s="1" t="s">
        <v>69</v>
      </c>
      <c r="E23" s="1" t="s">
        <v>34</v>
      </c>
      <c r="F23" s="1" t="s">
        <v>27</v>
      </c>
      <c r="G23" s="4">
        <v>4250</v>
      </c>
      <c r="H23" s="8">
        <v>901</v>
      </c>
      <c r="I23" s="11">
        <f>H23/G23</f>
        <v>0.21199999999999999</v>
      </c>
    </row>
    <row r="24" spans="1:9" x14ac:dyDescent="0.25">
      <c r="B24" s="3">
        <v>45079</v>
      </c>
      <c r="C24" s="1" t="s">
        <v>47</v>
      </c>
      <c r="D24" s="1" t="s">
        <v>70</v>
      </c>
      <c r="E24" s="1" t="s">
        <v>34</v>
      </c>
      <c r="F24" s="1" t="s">
        <v>13</v>
      </c>
      <c r="G24" s="4">
        <v>5250</v>
      </c>
      <c r="H24" s="8">
        <v>1349</v>
      </c>
      <c r="I24" s="11">
        <f>H24/G24</f>
        <v>0.25695238095238093</v>
      </c>
    </row>
    <row r="25" spans="1:9" x14ac:dyDescent="0.25">
      <c r="B25" s="3">
        <v>45079</v>
      </c>
      <c r="C25" s="1" t="s">
        <v>48</v>
      </c>
      <c r="D25" s="1" t="s">
        <v>50</v>
      </c>
      <c r="E25" s="1" t="s">
        <v>12</v>
      </c>
      <c r="F25" s="1" t="s">
        <v>13</v>
      </c>
      <c r="G25" s="4">
        <v>6500</v>
      </c>
      <c r="H25" s="8">
        <v>1288</v>
      </c>
      <c r="I25" s="11">
        <f>H25/G25</f>
        <v>0.19815384615384615</v>
      </c>
    </row>
    <row r="26" spans="1:9" x14ac:dyDescent="0.25">
      <c r="B26" s="3">
        <v>45079</v>
      </c>
      <c r="C26" s="1" t="s">
        <v>49</v>
      </c>
      <c r="D26" s="1" t="s">
        <v>52</v>
      </c>
      <c r="E26" s="1" t="s">
        <v>12</v>
      </c>
      <c r="F26" s="1" t="s">
        <v>13</v>
      </c>
      <c r="G26" s="4">
        <v>7500</v>
      </c>
      <c r="H26" s="8">
        <v>1664</v>
      </c>
      <c r="I26" s="11">
        <f>H26/G26</f>
        <v>0.22186666666666666</v>
      </c>
    </row>
    <row r="27" spans="1:9" x14ac:dyDescent="0.25">
      <c r="B27" s="3">
        <v>45079</v>
      </c>
      <c r="C27" s="1" t="s">
        <v>51</v>
      </c>
      <c r="D27" s="1" t="s">
        <v>54</v>
      </c>
      <c r="E27" s="1" t="s">
        <v>12</v>
      </c>
      <c r="F27" s="1" t="s">
        <v>9</v>
      </c>
      <c r="G27" s="4">
        <v>5500</v>
      </c>
      <c r="H27" s="8">
        <v>1320</v>
      </c>
      <c r="I27" s="11">
        <f>H27/G27</f>
        <v>0.24</v>
      </c>
    </row>
    <row r="28" spans="1:9" x14ac:dyDescent="0.25">
      <c r="B28" s="3">
        <v>45079</v>
      </c>
      <c r="C28" s="1" t="s">
        <v>53</v>
      </c>
      <c r="D28" s="1" t="s">
        <v>56</v>
      </c>
      <c r="E28" s="1" t="s">
        <v>12</v>
      </c>
      <c r="F28" s="1" t="s">
        <v>9</v>
      </c>
      <c r="G28" s="4">
        <v>4625</v>
      </c>
      <c r="H28" s="8">
        <v>1001</v>
      </c>
      <c r="I28" s="11">
        <f>H28/G28</f>
        <v>0.21643243243243243</v>
      </c>
    </row>
    <row r="29" spans="1:9" x14ac:dyDescent="0.25">
      <c r="B29" s="3">
        <v>45079</v>
      </c>
      <c r="C29" s="1" t="s">
        <v>55</v>
      </c>
      <c r="D29" s="1" t="s">
        <v>58</v>
      </c>
      <c r="E29" s="1" t="s">
        <v>12</v>
      </c>
      <c r="F29" s="1" t="s">
        <v>9</v>
      </c>
      <c r="G29" s="4">
        <v>4500</v>
      </c>
      <c r="H29" s="8">
        <v>960</v>
      </c>
      <c r="I29" s="11">
        <f>H29/G29</f>
        <v>0.21333333333333335</v>
      </c>
    </row>
    <row r="30" spans="1:9" x14ac:dyDescent="0.25">
      <c r="B30" s="3">
        <v>45079</v>
      </c>
      <c r="C30" s="1" t="s">
        <v>57</v>
      </c>
      <c r="D30" s="1" t="s">
        <v>59</v>
      </c>
      <c r="E30" s="1" t="s">
        <v>12</v>
      </c>
      <c r="F30" s="1" t="s">
        <v>27</v>
      </c>
      <c r="G30" s="4">
        <v>5400</v>
      </c>
      <c r="H30" s="8">
        <v>540</v>
      </c>
      <c r="I30" s="11">
        <f>H30/G30</f>
        <v>0.1</v>
      </c>
    </row>
    <row r="31" spans="1:9" x14ac:dyDescent="0.25">
      <c r="A31" t="s">
        <v>82</v>
      </c>
      <c r="B31" s="16"/>
      <c r="G31" s="2"/>
      <c r="H31" s="8">
        <f>SUBTOTAL(109,Table1[Column7])</f>
        <v>28845</v>
      </c>
      <c r="I31" s="12">
        <f>SUBTOTAL(103,Table1[Column8])</f>
        <v>29</v>
      </c>
    </row>
    <row r="32" spans="1:9" x14ac:dyDescent="0.25">
      <c r="G32" s="6"/>
    </row>
  </sheetData>
  <conditionalFormatting sqref="C1002:C1048576 C1:C30 C32">
    <cfRule type="duplicateValues" dxfId="12" priority="1"/>
  </conditionalFormatting>
  <dataValidations count="1">
    <dataValidation type="list" allowBlank="1" showInputMessage="1" showErrorMessage="1" sqref="A1:XFD30 J31:XFD1048576 A32:I1048576" xr:uid="{E9F81CE9-B58B-41D3-865E-1E2E298A2800}">
      <formula1>"NORTH,SOUTH,EST,WEST,ASGARD TBA"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2026-10-07T16:35:53Z</dcterms:created>
  <dcterms:modified xsi:type="dcterms:W3CDTF">2026-10-07T16:35:54Z</dcterms:modified>
</cp:coreProperties>
</file>